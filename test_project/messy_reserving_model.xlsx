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Data" sheetId="2" state="visible" r:id="rId4"/>
    <sheet name="Calc" sheetId="3" state="visible" r:id="rId5"/>
    <sheet name="MI Pack" sheetId="4" state="visible" r:id="rId6"/>
    <sheet name="Old_Working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<sst xmlns="http://schemas.openxmlformats.org/spreadsheetml/2006/main" count="179" uniqueCount="94">
  <si>
    <t xml:space="preserve">Reserving Model - Key Assumptions</t>
  </si>
  <si>
    <t xml:space="preserve">Valuation date</t>
  </si>
  <si>
    <t xml:space="preserve">2025-06-30</t>
  </si>
  <si>
    <t xml:space="preserve">Discount rate</t>
  </si>
  <si>
    <t xml:space="preserve">Expense loading</t>
  </si>
  <si>
    <t xml:space="preserve">Claims inflation</t>
  </si>
  <si>
    <t xml:space="preserve">FX rate HKD/USD</t>
  </si>
  <si>
    <t xml:space="preserve">Note: rates agreed with actuarial 14 Jul. Do not overwrite without sign-off.</t>
  </si>
  <si>
    <t xml:space="preserve">Policy ID</t>
  </si>
  <si>
    <t xml:space="preserve">Line of Business</t>
  </si>
  <si>
    <t xml:space="preserve">Written Premium</t>
  </si>
  <si>
    <t xml:space="preserve">Earned Premium</t>
  </si>
  <si>
    <t xml:space="preserve">Region</t>
  </si>
  <si>
    <t xml:space="preserve">LOB Mapping</t>
  </si>
  <si>
    <t xml:space="preserve">POL-10002</t>
  </si>
  <si>
    <t xml:space="preserve">Marine</t>
  </si>
  <si>
    <t xml:space="preserve">SG</t>
  </si>
  <si>
    <t xml:space="preserve">LOB Code</t>
  </si>
  <si>
    <t xml:space="preserve">LOB Name</t>
  </si>
  <si>
    <t xml:space="preserve">Reserve Factor</t>
  </si>
  <si>
    <t xml:space="preserve">POL-10003</t>
  </si>
  <si>
    <t xml:space="preserve">Motor</t>
  </si>
  <si>
    <t xml:space="preserve">JP</t>
  </si>
  <si>
    <t xml:space="preserve">MTR</t>
  </si>
  <si>
    <t xml:space="preserve">POL-10004</t>
  </si>
  <si>
    <t xml:space="preserve">HK</t>
  </si>
  <si>
    <t xml:space="preserve">PRP</t>
  </si>
  <si>
    <t xml:space="preserve">Property</t>
  </si>
  <si>
    <t xml:space="preserve">POL-10005</t>
  </si>
  <si>
    <t xml:space="preserve">MAR</t>
  </si>
  <si>
    <t xml:space="preserve">POL-10006</t>
  </si>
  <si>
    <t xml:space="preserve">Liability</t>
  </si>
  <si>
    <t xml:space="preserve">LIA</t>
  </si>
  <si>
    <t xml:space="preserve">POL-10007</t>
  </si>
  <si>
    <t xml:space="preserve">POL-10008</t>
  </si>
  <si>
    <t xml:space="preserve">POL-10009</t>
  </si>
  <si>
    <t xml:space="preserve">POL-10010</t>
  </si>
  <si>
    <t xml:space="preserve">POL-10011</t>
  </si>
  <si>
    <t xml:space="preserve">POL-10012</t>
  </si>
  <si>
    <t xml:space="preserve">POL-10013</t>
  </si>
  <si>
    <t xml:space="preserve">POL-10014</t>
  </si>
  <si>
    <t xml:space="preserve">POL-10015</t>
  </si>
  <si>
    <t xml:space="preserve">POL-10016</t>
  </si>
  <si>
    <t xml:space="preserve">POL-10017</t>
  </si>
  <si>
    <t xml:space="preserve">POL-10018</t>
  </si>
  <si>
    <t xml:space="preserve">POL-10019</t>
  </si>
  <si>
    <t xml:space="preserve">POL-10020</t>
  </si>
  <si>
    <t xml:space="preserve">POL-10021</t>
  </si>
  <si>
    <t xml:space="preserve">POL-10022</t>
  </si>
  <si>
    <t xml:space="preserve">POL-10023</t>
  </si>
  <si>
    <t xml:space="preserve">POL-10024</t>
  </si>
  <si>
    <t xml:space="preserve">POL-10025</t>
  </si>
  <si>
    <t xml:space="preserve">POL-10026</t>
  </si>
  <si>
    <t xml:space="preserve">POL-10027</t>
  </si>
  <si>
    <t xml:space="preserve">POL-10028</t>
  </si>
  <si>
    <t xml:space="preserve">POL-10029</t>
  </si>
  <si>
    <t xml:space="preserve">POL-10030</t>
  </si>
  <si>
    <t xml:space="preserve">POL-10031</t>
  </si>
  <si>
    <t xml:space="preserve">POL-10032</t>
  </si>
  <si>
    <t xml:space="preserve">POL-10033</t>
  </si>
  <si>
    <t xml:space="preserve">POL-10034</t>
  </si>
  <si>
    <t xml:space="preserve">POL-10035</t>
  </si>
  <si>
    <t xml:space="preserve">POL-10036</t>
  </si>
  <si>
    <t xml:space="preserve">POL-10037</t>
  </si>
  <si>
    <t xml:space="preserve">POL-10038</t>
  </si>
  <si>
    <t xml:space="preserve">POL-10039</t>
  </si>
  <si>
    <t xml:space="preserve">POL-10040</t>
  </si>
  <si>
    <t xml:space="preserve">POL-10041</t>
  </si>
  <si>
    <t xml:space="preserve">Reserve Roll-Forward</t>
  </si>
  <si>
    <t xml:space="preserve">Gross</t>
  </si>
  <si>
    <t xml:space="preserve">Reinsurance</t>
  </si>
  <si>
    <t xml:space="preserve">Net</t>
  </si>
  <si>
    <t xml:space="preserve">Accident Year</t>
  </si>
  <si>
    <t xml:space="preserve">Opening</t>
  </si>
  <si>
    <t xml:space="preserve">Movement</t>
  </si>
  <si>
    <t xml:space="preserve">2019</t>
  </si>
  <si>
    <t xml:space="preserve">Adj factor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</si>
  <si>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</si>
  <si>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</si>
  <si>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</si>
  <si>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</si>
  <si>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</si>
  <si>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</si>
  <si>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Total</t>
  </si>
  <si>
    <t xml:space="preserve">Notes:</t>
  </si>
  <si>
    <t xml:space="preserve">2020 movement restated following audit query, see file Recon_2020_FINAL.xlsx</t>
  </si>
  <si>
    <t xml:space="preserve">Quarterly MI - Underwriting Result by Region</t>
  </si>
  <si>
    <t xml:space="preserve">Q1</t>
  </si>
  <si>
    <t xml:space="preserve">Q2</t>
  </si>
  <si>
    <t xml:space="preserve">Q3</t>
  </si>
  <si>
    <t xml:space="preserve">Q4</t>
  </si>
  <si>
    <t xml:space="preserve">FY</t>
  </si>
  <si>
    <t xml:space="preserve">AU</t>
  </si>
  <si>
    <t xml:space="preserve">scratch - do not use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</si>
</sst>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DDD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Policies" displayName="tblPolicies" ref="A1:E41" headerRowCount="1" totalsRowCount="0" totalsRowShown="0">
  <autoFilter ref="A1:E41"/>
  <tableColumns count="5">
    <tableColumn id="1" name="Policy ID"/>
    <tableColumn id="2" name="Line of Business"/>
    <tableColumn id="3" name="Written Premium"/>
    <tableColumn id="4" name="Earned Premium"/>
    <tableColumn id="5" name="Reg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s">
        <v>2</v>
      </c>
    </row>
    <row r="4" customFormat="false" ht="15" hidden="false" customHeight="false" outlineLevel="0" collapsed="false">
      <c r="A4" s="0" t="s">
        <v>3</v>
      </c>
      <c r="B4" s="3" t="n">
        <v>0.035</v>
      </c>
    </row>
    <row r="5" customFormat="false" ht="15" hidden="false" customHeight="false" outlineLevel="0" collapsed="false">
      <c r="A5" s="0" t="s">
        <v>4</v>
      </c>
      <c r="B5" s="3" t="n">
        <v>0.12</v>
      </c>
    </row>
    <row r="6" customFormat="false" ht="15" hidden="false" customHeight="false" outlineLevel="0" collapsed="false">
      <c r="A6" s="0" t="s">
        <v>5</v>
      </c>
      <c r="B6" s="3" t="n">
        <v>0.045</v>
      </c>
    </row>
    <row r="7" customFormat="false" ht="15" hidden="false" customHeight="false" outlineLevel="0" collapsed="false">
      <c r="A7" s="0" t="s">
        <v>6</v>
      </c>
      <c r="B7" s="2" t="n">
        <v>7.81</v>
      </c>
    </row>
    <row r="10" customFormat="false" ht="15" hidden="false" customHeight="false" outlineLevel="0" collapsed="false">
      <c r="A10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G1" s="5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n">
        <v>85568.56</v>
      </c>
      <c r="D2" s="0" t="n">
        <f aca="false">C2*0.85</f>
        <v>72733.276</v>
      </c>
      <c r="E2" s="0" t="s">
        <v>16</v>
      </c>
      <c r="G2" s="6" t="s">
        <v>17</v>
      </c>
      <c r="H2" s="6" t="s">
        <v>18</v>
      </c>
      <c r="I2" s="6" t="s">
        <v>19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n">
        <v>11157.08</v>
      </c>
      <c r="D3" s="0" t="n">
        <f aca="false">C3*0.85</f>
        <v>9483.518</v>
      </c>
      <c r="E3" s="0" t="s">
        <v>22</v>
      </c>
      <c r="G3" s="0" t="s">
        <v>23</v>
      </c>
      <c r="H3" s="0" t="s">
        <v>21</v>
      </c>
      <c r="I3" s="0" t="n">
        <v>0.62</v>
      </c>
    </row>
    <row r="4" customFormat="false" ht="15" hidden="false" customHeight="false" outlineLevel="0" collapsed="false">
      <c r="A4" s="0" t="s">
        <v>24</v>
      </c>
      <c r="B4" s="0" t="s">
        <v>21</v>
      </c>
      <c r="C4" s="0" t="n">
        <v>36083.56</v>
      </c>
      <c r="D4" s="0" t="n">
        <f aca="false">C4*0.85</f>
        <v>30671.026</v>
      </c>
      <c r="E4" s="0" t="s">
        <v>25</v>
      </c>
      <c r="G4" s="0" t="s">
        <v>26</v>
      </c>
      <c r="H4" s="0" t="s">
        <v>27</v>
      </c>
      <c r="I4" s="0" t="n">
        <v>0.48</v>
      </c>
    </row>
    <row r="5" customFormat="false" ht="15" hidden="false" customHeight="false" outlineLevel="0" collapsed="false">
      <c r="A5" s="0" t="s">
        <v>28</v>
      </c>
      <c r="B5" s="0" t="s">
        <v>27</v>
      </c>
      <c r="C5" s="0" t="n">
        <v>8187.13</v>
      </c>
      <c r="D5" s="0" t="n">
        <f aca="false">C5*0.85</f>
        <v>6959.0605</v>
      </c>
      <c r="E5" s="0" t="s">
        <v>16</v>
      </c>
      <c r="G5" s="0" t="s">
        <v>29</v>
      </c>
      <c r="H5" s="0" t="s">
        <v>15</v>
      </c>
      <c r="I5" s="0" t="n">
        <v>0.71</v>
      </c>
    </row>
    <row r="6" customFormat="false" ht="15" hidden="false" customHeight="false" outlineLevel="0" collapsed="false">
      <c r="A6" s="0" t="s">
        <v>30</v>
      </c>
      <c r="B6" s="0" t="s">
        <v>31</v>
      </c>
      <c r="C6" s="0" t="n">
        <v>10937.71</v>
      </c>
      <c r="D6" s="0" t="n">
        <f aca="false">C6*0.85</f>
        <v>9297.0535</v>
      </c>
      <c r="E6" s="0" t="s">
        <v>25</v>
      </c>
      <c r="G6" s="0" t="s">
        <v>32</v>
      </c>
      <c r="H6" s="0" t="s">
        <v>31</v>
      </c>
      <c r="I6" s="0" t="n">
        <v>0.83</v>
      </c>
    </row>
    <row r="7" customFormat="false" ht="15" hidden="false" customHeight="false" outlineLevel="0" collapsed="false">
      <c r="A7" s="0" t="s">
        <v>33</v>
      </c>
      <c r="B7" s="0" t="s">
        <v>31</v>
      </c>
      <c r="C7" s="0" t="n">
        <v>10024.39</v>
      </c>
      <c r="D7" s="0" t="n">
        <f aca="false">C7*0.85</f>
        <v>8520.7315</v>
      </c>
      <c r="E7" s="0" t="s">
        <v>22</v>
      </c>
    </row>
    <row r="8" customFormat="false" ht="15" hidden="false" customHeight="false" outlineLevel="0" collapsed="false">
      <c r="A8" s="0" t="s">
        <v>34</v>
      </c>
      <c r="B8" s="0" t="s">
        <v>21</v>
      </c>
      <c r="C8" s="0" t="n">
        <v>85533.22</v>
      </c>
      <c r="D8" s="0" t="n">
        <f aca="false">C8*0.85</f>
        <v>72703.237</v>
      </c>
      <c r="E8" s="0" t="s">
        <v>22</v>
      </c>
    </row>
    <row r="9" customFormat="false" ht="15" hidden="false" customHeight="false" outlineLevel="0" collapsed="false">
      <c r="A9" s="0" t="s">
        <v>35</v>
      </c>
      <c r="B9" s="0" t="s">
        <v>21</v>
      </c>
      <c r="C9" s="0" t="n">
        <v>54053.75</v>
      </c>
      <c r="D9" s="0" t="n">
        <f aca="false">C9*0.85</f>
        <v>45945.6875</v>
      </c>
      <c r="E9" s="0" t="s">
        <v>16</v>
      </c>
    </row>
    <row r="10" customFormat="false" ht="15" hidden="false" customHeight="false" outlineLevel="0" collapsed="false">
      <c r="A10" s="0" t="s">
        <v>36</v>
      </c>
      <c r="B10" s="0" t="s">
        <v>21</v>
      </c>
      <c r="C10" s="0" t="n">
        <v>87981.68</v>
      </c>
      <c r="D10" s="0" t="n">
        <f aca="false">C10*0.85</f>
        <v>74784.428</v>
      </c>
      <c r="E10" s="0" t="s">
        <v>25</v>
      </c>
    </row>
    <row r="11" customFormat="false" ht="15" hidden="false" customHeight="false" outlineLevel="0" collapsed="false">
      <c r="A11" s="0" t="s">
        <v>37</v>
      </c>
      <c r="B11" s="0" t="s">
        <v>27</v>
      </c>
      <c r="C11" s="0" t="n">
        <v>29616.79</v>
      </c>
      <c r="D11" s="0" t="n">
        <f aca="false">C11*0.85</f>
        <v>25174.2715</v>
      </c>
      <c r="E11" s="0" t="s">
        <v>25</v>
      </c>
    </row>
    <row r="12" customFormat="false" ht="15" hidden="false" customHeight="false" outlineLevel="0" collapsed="false">
      <c r="A12" s="0" t="s">
        <v>38</v>
      </c>
      <c r="B12" s="0" t="s">
        <v>21</v>
      </c>
      <c r="C12" s="0" t="n">
        <v>53527.66</v>
      </c>
      <c r="D12" s="0" t="n">
        <f aca="false">C12*0.85</f>
        <v>45498.511</v>
      </c>
      <c r="E12" s="0" t="s">
        <v>22</v>
      </c>
    </row>
    <row r="13" customFormat="false" ht="15" hidden="false" customHeight="false" outlineLevel="0" collapsed="false">
      <c r="A13" s="0" t="s">
        <v>39</v>
      </c>
      <c r="B13" s="0" t="s">
        <v>27</v>
      </c>
      <c r="C13" s="0" t="n">
        <v>13759.74</v>
      </c>
      <c r="D13" s="0" t="n">
        <f aca="false">C13*0.85</f>
        <v>11695.779</v>
      </c>
      <c r="E13" s="0" t="s">
        <v>22</v>
      </c>
    </row>
    <row r="14" customFormat="false" ht="15" hidden="false" customHeight="false" outlineLevel="0" collapsed="false">
      <c r="A14" s="0" t="s">
        <v>40</v>
      </c>
      <c r="B14" s="0" t="s">
        <v>27</v>
      </c>
      <c r="C14" s="0" t="n">
        <v>36653.79</v>
      </c>
      <c r="D14" s="0" t="n">
        <f aca="false">C14*0.85</f>
        <v>31155.7215</v>
      </c>
      <c r="E14" s="0" t="s">
        <v>22</v>
      </c>
    </row>
    <row r="15" customFormat="false" ht="15" hidden="false" customHeight="false" outlineLevel="0" collapsed="false">
      <c r="A15" s="0" t="s">
        <v>41</v>
      </c>
      <c r="B15" s="0" t="s">
        <v>21</v>
      </c>
      <c r="C15" s="0" t="n">
        <v>52971.3</v>
      </c>
      <c r="D15" s="0" t="n">
        <f aca="false">C15*0.85</f>
        <v>45025.605</v>
      </c>
      <c r="E15" s="0" t="s">
        <v>22</v>
      </c>
    </row>
    <row r="16" customFormat="false" ht="15" hidden="false" customHeight="false" outlineLevel="0" collapsed="false">
      <c r="A16" s="0" t="s">
        <v>42</v>
      </c>
      <c r="B16" s="0" t="s">
        <v>27</v>
      </c>
      <c r="C16" s="0" t="n">
        <v>47195.23</v>
      </c>
      <c r="D16" s="0" t="n">
        <f aca="false">C16*0.85</f>
        <v>40115.9455</v>
      </c>
      <c r="E16" s="0" t="s">
        <v>22</v>
      </c>
    </row>
    <row r="17" customFormat="false" ht="15" hidden="false" customHeight="false" outlineLevel="0" collapsed="false">
      <c r="A17" s="0" t="s">
        <v>43</v>
      </c>
      <c r="B17" s="0" t="s">
        <v>31</v>
      </c>
      <c r="C17" s="0" t="n">
        <v>71064.45</v>
      </c>
      <c r="D17" s="0" t="n">
        <f aca="false">C17*0.85</f>
        <v>60404.7825</v>
      </c>
      <c r="E17" s="0" t="s">
        <v>16</v>
      </c>
    </row>
    <row r="18" customFormat="false" ht="15" hidden="false" customHeight="false" outlineLevel="0" collapsed="false">
      <c r="A18" s="0" t="s">
        <v>44</v>
      </c>
      <c r="B18" s="0" t="s">
        <v>31</v>
      </c>
      <c r="C18" s="0" t="n">
        <v>35734.5</v>
      </c>
      <c r="D18" s="0" t="n">
        <f aca="false">C18*0.85</f>
        <v>30374.325</v>
      </c>
      <c r="E18" s="0" t="s">
        <v>25</v>
      </c>
    </row>
    <row r="19" customFormat="false" ht="15" hidden="false" customHeight="false" outlineLevel="0" collapsed="false">
      <c r="A19" s="0" t="s">
        <v>45</v>
      </c>
      <c r="B19" s="0" t="s">
        <v>27</v>
      </c>
      <c r="C19" s="0" t="n">
        <v>64414.53</v>
      </c>
      <c r="D19" s="0" t="n">
        <f aca="false">C19*0.85</f>
        <v>54752.3505</v>
      </c>
      <c r="E19" s="0" t="s">
        <v>25</v>
      </c>
    </row>
    <row r="20" customFormat="false" ht="15" hidden="false" customHeight="false" outlineLevel="0" collapsed="false">
      <c r="A20" s="0" t="s">
        <v>46</v>
      </c>
      <c r="B20" s="0" t="s">
        <v>21</v>
      </c>
      <c r="C20" s="0" t="n">
        <v>53826.02</v>
      </c>
      <c r="D20" s="0" t="n">
        <f aca="false">C20*0.85</f>
        <v>45752.117</v>
      </c>
      <c r="E20" s="0" t="s">
        <v>22</v>
      </c>
    </row>
    <row r="21" customFormat="false" ht="15" hidden="false" customHeight="false" outlineLevel="0" collapsed="false">
      <c r="A21" s="0" t="s">
        <v>47</v>
      </c>
      <c r="B21" s="0" t="s">
        <v>31</v>
      </c>
      <c r="C21" s="0" t="n">
        <v>79386.69</v>
      </c>
      <c r="D21" s="0" t="n">
        <f aca="false">C21*0.85</f>
        <v>67478.6865</v>
      </c>
      <c r="E21" s="0" t="s">
        <v>22</v>
      </c>
    </row>
    <row r="22" customFormat="false" ht="15" hidden="false" customHeight="false" outlineLevel="0" collapsed="false">
      <c r="A22" s="0" t="s">
        <v>48</v>
      </c>
      <c r="B22" s="0" t="s">
        <v>31</v>
      </c>
      <c r="C22" s="0" t="n">
        <v>29474.71</v>
      </c>
      <c r="D22" s="0" t="n">
        <f aca="false">C22*0.85</f>
        <v>25053.5035</v>
      </c>
      <c r="E22" s="0" t="s">
        <v>25</v>
      </c>
    </row>
    <row r="23" customFormat="false" ht="15" hidden="false" customHeight="false" outlineLevel="0" collapsed="false">
      <c r="A23" s="0" t="s">
        <v>49</v>
      </c>
      <c r="B23" s="0" t="s">
        <v>21</v>
      </c>
      <c r="C23" s="0" t="n">
        <v>48514.29</v>
      </c>
      <c r="D23" s="0" t="n">
        <f aca="false">C23*0.85</f>
        <v>41237.1465</v>
      </c>
      <c r="E23" s="0" t="s">
        <v>25</v>
      </c>
    </row>
    <row r="24" customFormat="false" ht="15" hidden="false" customHeight="false" outlineLevel="0" collapsed="false">
      <c r="A24" s="0" t="s">
        <v>50</v>
      </c>
      <c r="B24" s="0" t="s">
        <v>15</v>
      </c>
      <c r="C24" s="0" t="n">
        <v>17918.69</v>
      </c>
      <c r="D24" s="0" t="n">
        <f aca="false">C24*0.85</f>
        <v>15230.8865</v>
      </c>
      <c r="E24" s="0" t="s">
        <v>16</v>
      </c>
    </row>
    <row r="25" customFormat="false" ht="15" hidden="false" customHeight="false" outlineLevel="0" collapsed="false">
      <c r="A25" s="0" t="s">
        <v>51</v>
      </c>
      <c r="B25" s="0" t="s">
        <v>31</v>
      </c>
      <c r="C25" s="0" t="n">
        <v>8332.62</v>
      </c>
      <c r="D25" s="0" t="n">
        <f aca="false">C25*0.85</f>
        <v>7082.727</v>
      </c>
      <c r="E25" s="0" t="s">
        <v>22</v>
      </c>
    </row>
    <row r="26" customFormat="false" ht="15" hidden="false" customHeight="false" outlineLevel="0" collapsed="false">
      <c r="A26" s="0" t="s">
        <v>52</v>
      </c>
      <c r="B26" s="0" t="s">
        <v>21</v>
      </c>
      <c r="C26" s="0" t="n">
        <v>69988.52</v>
      </c>
      <c r="D26" s="0" t="n">
        <f aca="false">C26*0.85</f>
        <v>59490.242</v>
      </c>
      <c r="E26" s="0" t="s">
        <v>22</v>
      </c>
    </row>
    <row r="27" customFormat="false" ht="15" hidden="false" customHeight="false" outlineLevel="0" collapsed="false">
      <c r="A27" s="0" t="s">
        <v>53</v>
      </c>
      <c r="B27" s="0" t="s">
        <v>15</v>
      </c>
      <c r="C27" s="0" t="n">
        <v>33910.4</v>
      </c>
      <c r="D27" s="0" t="n">
        <f aca="false">C27*0.85</f>
        <v>28823.84</v>
      </c>
      <c r="E27" s="0" t="s">
        <v>16</v>
      </c>
    </row>
    <row r="28" customFormat="false" ht="15" hidden="false" customHeight="false" outlineLevel="0" collapsed="false">
      <c r="A28" s="0" t="s">
        <v>54</v>
      </c>
      <c r="B28" s="0" t="s">
        <v>31</v>
      </c>
      <c r="C28" s="0" t="n">
        <v>54291.09</v>
      </c>
      <c r="D28" s="0" t="n">
        <f aca="false">C28*0.85</f>
        <v>46147.4265</v>
      </c>
      <c r="E28" s="0" t="s">
        <v>16</v>
      </c>
    </row>
    <row r="29" customFormat="false" ht="15" hidden="false" customHeight="false" outlineLevel="0" collapsed="false">
      <c r="A29" s="0" t="s">
        <v>55</v>
      </c>
      <c r="B29" s="0" t="s">
        <v>21</v>
      </c>
      <c r="C29" s="0" t="n">
        <v>76397.26</v>
      </c>
      <c r="D29" s="0" t="n">
        <f aca="false">C29*0.85</f>
        <v>64937.671</v>
      </c>
      <c r="E29" s="0" t="s">
        <v>16</v>
      </c>
    </row>
    <row r="30" customFormat="false" ht="15" hidden="false" customHeight="false" outlineLevel="0" collapsed="false">
      <c r="A30" s="0" t="s">
        <v>56</v>
      </c>
      <c r="B30" s="0" t="s">
        <v>31</v>
      </c>
      <c r="C30" s="0" t="n">
        <v>64248.58</v>
      </c>
      <c r="D30" s="0" t="n">
        <f aca="false">C30*0.85</f>
        <v>54611.293</v>
      </c>
      <c r="E30" s="0" t="s">
        <v>25</v>
      </c>
    </row>
    <row r="31" customFormat="false" ht="15" hidden="false" customHeight="false" outlineLevel="0" collapsed="false">
      <c r="A31" s="0" t="s">
        <v>57</v>
      </c>
      <c r="B31" s="0" t="s">
        <v>21</v>
      </c>
      <c r="C31" s="0" t="n">
        <v>67148.54</v>
      </c>
      <c r="D31" s="0" t="n">
        <f aca="false">C31*0.85</f>
        <v>57076.259</v>
      </c>
      <c r="E31" s="0" t="s">
        <v>16</v>
      </c>
    </row>
    <row r="32" customFormat="false" ht="15" hidden="false" customHeight="false" outlineLevel="0" collapsed="false">
      <c r="A32" s="0" t="s">
        <v>58</v>
      </c>
      <c r="B32" s="0" t="s">
        <v>31</v>
      </c>
      <c r="C32" s="0" t="n">
        <v>29190.62</v>
      </c>
      <c r="D32" s="0" t="n">
        <f aca="false">C32*0.85</f>
        <v>24812.027</v>
      </c>
      <c r="E32" s="0" t="s">
        <v>16</v>
      </c>
    </row>
    <row r="33" customFormat="false" ht="15" hidden="false" customHeight="false" outlineLevel="0" collapsed="false">
      <c r="A33" s="0" t="s">
        <v>59</v>
      </c>
      <c r="B33" s="0" t="s">
        <v>15</v>
      </c>
      <c r="C33" s="0" t="n">
        <v>6917.85</v>
      </c>
      <c r="D33" s="0" t="n">
        <f aca="false">C33*0.85</f>
        <v>5880.1725</v>
      </c>
      <c r="E33" s="0" t="s">
        <v>16</v>
      </c>
    </row>
    <row r="34" customFormat="false" ht="15" hidden="false" customHeight="false" outlineLevel="0" collapsed="false">
      <c r="A34" s="0" t="s">
        <v>60</v>
      </c>
      <c r="B34" s="0" t="s">
        <v>15</v>
      </c>
      <c r="C34" s="0" t="n">
        <v>19284.11</v>
      </c>
      <c r="D34" s="0" t="n">
        <f aca="false">C34*0.85</f>
        <v>16391.4935</v>
      </c>
      <c r="E34" s="0" t="s">
        <v>25</v>
      </c>
    </row>
    <row r="35" customFormat="false" ht="15" hidden="false" customHeight="false" outlineLevel="0" collapsed="false">
      <c r="A35" s="0" t="s">
        <v>61</v>
      </c>
      <c r="B35" s="0" t="s">
        <v>31</v>
      </c>
      <c r="C35" s="0" t="n">
        <v>10011.13</v>
      </c>
      <c r="D35" s="0" t="n">
        <f aca="false">C35*0.85</f>
        <v>8509.4605</v>
      </c>
      <c r="E35" s="0" t="s">
        <v>16</v>
      </c>
    </row>
    <row r="36" customFormat="false" ht="15" hidden="false" customHeight="false" outlineLevel="0" collapsed="false">
      <c r="A36" s="0" t="s">
        <v>62</v>
      </c>
      <c r="B36" s="0" t="s">
        <v>27</v>
      </c>
      <c r="C36" s="0" t="n">
        <v>67760.89</v>
      </c>
      <c r="D36" s="0" t="n">
        <f aca="false">C36*0.85</f>
        <v>57596.7565</v>
      </c>
      <c r="E36" s="0" t="s">
        <v>16</v>
      </c>
    </row>
    <row r="37" customFormat="false" ht="15" hidden="false" customHeight="false" outlineLevel="0" collapsed="false">
      <c r="A37" s="0" t="s">
        <v>63</v>
      </c>
      <c r="B37" s="0" t="s">
        <v>31</v>
      </c>
      <c r="C37" s="0" t="n">
        <v>82929.38</v>
      </c>
      <c r="D37" s="0" t="n">
        <f aca="false">C37*0.85</f>
        <v>70489.973</v>
      </c>
      <c r="E37" s="0" t="s">
        <v>16</v>
      </c>
    </row>
    <row r="38" customFormat="false" ht="15" hidden="false" customHeight="false" outlineLevel="0" collapsed="false">
      <c r="A38" s="0" t="s">
        <v>64</v>
      </c>
      <c r="B38" s="0" t="s">
        <v>21</v>
      </c>
      <c r="C38" s="0" t="n">
        <v>19141.13</v>
      </c>
      <c r="D38" s="0" t="n">
        <f aca="false">C38*0.85</f>
        <v>16269.9605</v>
      </c>
      <c r="E38" s="0" t="s">
        <v>16</v>
      </c>
    </row>
    <row r="39" customFormat="false" ht="15" hidden="false" customHeight="false" outlineLevel="0" collapsed="false">
      <c r="A39" s="0" t="s">
        <v>65</v>
      </c>
      <c r="B39" s="0" t="s">
        <v>15</v>
      </c>
      <c r="C39" s="0" t="n">
        <v>80087.63</v>
      </c>
      <c r="D39" s="0" t="n">
        <f aca="false">C39*0.85</f>
        <v>68074.4855</v>
      </c>
      <c r="E39" s="0" t="s">
        <v>16</v>
      </c>
    </row>
    <row r="40" customFormat="false" ht="15" hidden="false" customHeight="false" outlineLevel="0" collapsed="false">
      <c r="A40" s="0" t="s">
        <v>66</v>
      </c>
      <c r="B40" s="0" t="s">
        <v>15</v>
      </c>
      <c r="C40" s="0" t="n">
        <v>65043.72</v>
      </c>
      <c r="D40" s="0" t="n">
        <f aca="false">C40*0.85</f>
        <v>55287.162</v>
      </c>
      <c r="E40" s="0" t="s">
        <v>16</v>
      </c>
    </row>
    <row r="41" customFormat="false" ht="15" hidden="false" customHeight="false" outlineLevel="0" collapsed="false">
      <c r="A41" s="0" t="s">
        <v>67</v>
      </c>
      <c r="B41" s="0" t="s">
        <v>31</v>
      </c>
      <c r="C41" s="0" t="n">
        <v>86407.15</v>
      </c>
      <c r="D41" s="0" t="n">
        <f aca="false">C41*0.85</f>
        <v>73446.0775</v>
      </c>
      <c r="E41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s">
        <v>68</v>
      </c>
    </row>
    <row r="3" customFormat="false" ht="15" hidden="false" customHeight="false" outlineLevel="0" collapsed="false">
      <c r="B3" s="8" t="s">
        <v>69</v>
      </c>
      <c r="C3" s="8"/>
      <c r="D3" s="8" t="s">
        <v>70</v>
      </c>
      <c r="E3" s="8"/>
      <c r="F3" s="8" t="s">
        <v>71</v>
      </c>
      <c r="G3" s="8"/>
    </row>
    <row r="4" customFormat="false" ht="15" hidden="false" customHeight="false" outlineLevel="0" collapsed="false">
      <c r="A4" s="6" t="s">
        <v>72</v>
      </c>
      <c r="B4" s="6" t="s">
        <v>73</v>
      </c>
      <c r="C4" s="6" t="s">
        <v>74</v>
      </c>
      <c r="D4" s="6" t="s">
        <v>73</v>
      </c>
      <c r="E4" s="6" t="s">
        <v>74</v>
      </c>
      <c r="F4" s="6" t="s">
        <v>73</v>
      </c>
      <c r="G4" s="6" t="s">
        <v>74</v>
      </c>
    </row>
    <row r="5" customFormat="false" ht="15" hidden="false" customHeight="false" outlineLevel="0" collapsed="false">
      <c r="A5" s="0" t="s">
        <v>75</v>
      </c>
      <c r="B5" s="0" t="n">
        <v>1331939</v>
      </c>
      <c r="C5" s="0" t="n">
        <f aca="false">B5*Assumptions!$B$6</f>
        <v>59937.255</v>
      </c>
      <c r="D5" s="0" t="n">
        <f aca="false">B5*0.3</f>
        <v>399581.7</v>
      </c>
      <c r="E5" s="0" t="n">
        <f aca="false">D5*Assumptions!$B$6</f>
        <v>17981.1765</v>
      </c>
      <c r="F5" s="0" t="n">
        <f aca="false">B5-D5</f>
        <v>932357.3</v>
      </c>
      <c r="G5" s="0" t="n">
        <f aca="false">C5-E5</f>
        <v>41956.0785</v>
      </c>
      <c r="I5" s="0" t="s">
        <v>76</v>
      </c>
    </row>
    <row r="6" customFormat="false" ht="15" hidden="false" customHeight="false" outlineLevel="0" collapsed="false">
      <c r="A6" s="0" t="s">
        <v>77</v>
      </c>
      <c r="B6" s="0" t="n">
        <v>1605194</v>
      </c>
      <c r="C6" s="0" t="n">
        <f aca="false">B6*Assumptions!$B$6</f>
        <v>72233.73</v>
      </c>
      <c r="D6" s="0" t="n">
        <f aca="false">B6*0.3</f>
        <v>481558.2</v>
      </c>
      <c r="E6" s="0" t="n">
        <f aca="false">D6*Assumptions!$B$6</f>
        <v>21670.119</v>
      </c>
      <c r="F6" s="0" t="n">
        <f aca="false">B6-D6</f>
        <v>1123635.8</v>
      </c>
      <c r="G6" s="0" t="n">
        <f aca="false">C6-E6</f>
        <v>50563.611</v>
      </c>
      <c r="I6" s="0" t="n">
        <v>1.075</v>
      </c>
    </row>
    <row r="7" customFormat="false" ht="15" hidden="false" customHeight="false" outlineLevel="0" collapsed="false">
      <c r="A7" s="0" t="s">
        <v>78</v>
      </c>
      <c r="B7" s="0" t="n">
        <v>3634067</v>
      </c>
      <c r="C7" s="0" t="n">
        <f aca="false">B7*Assumptions!$B$6</f>
        <v>163533.015</v>
      </c>
      <c r="D7" s="0" t="n">
        <f aca="false">B7*0.3</f>
        <v>1090220.1</v>
      </c>
      <c r="E7" s="0" t="n">
        <f aca="false">D7*Assumptions!$B$6</f>
        <v>49059.9045</v>
      </c>
      <c r="F7" s="0" t="n">
        <f aca="false">B7-D7</f>
        <v>2543846.9</v>
      </c>
      <c r="G7" s="0" t="n">
        <f aca="false">C7-E7</f>
        <v>114473.1105</v>
      </c>
      <c r="I7" s="0" t="n">
        <f aca="false">I6*1.02</f>
        <v>1.0965</v>
      </c>
    </row>
    <row r="8" customFormat="false" ht="15" hidden="false" customHeight="false" outlineLevel="0" collapsed="false">
      <c r="A8" s="0" t="s">
        <v>79</v>
      </c>
      <c r="B8" s="0" t="n">
        <v>1048252</v>
      </c>
      <c r="C8" s="0" t="n">
        <f aca="false">B8*Assumptions!$B$6</f>
        <v>47171.34</v>
      </c>
      <c r="D8" s="0" t="n">
        <f aca="false">B8*0.3</f>
        <v>314475.6</v>
      </c>
      <c r="E8" s="0" t="n">
        <f aca="false">D8*Assumptions!$B$6</f>
        <v>14151.402</v>
      </c>
      <c r="F8" s="0" t="n">
        <f aca="false">B8-D8</f>
        <v>733776.4</v>
      </c>
      <c r="G8" s="0" t="n">
        <f aca="false">C8-E8</f>
        <v>33019.938</v>
      </c>
    </row>
    <row r="9" customFormat="false" ht="15" hidden="false" customHeight="false" outlineLevel="0" collapsed="false">
      <c r="I9" s="0" t="n">
        <v>0</v>
      </c>
    </row>
    <row r="10" customFormat="false" ht="15" hidden="false" customHeight="false" outlineLevel="0" collapsed="false">
      <c r="A10" s="0" t="s">
        <v>80</v>
      </c>
      <c r="B10" s="0" t="n">
        <v>4324374</v>
      </c>
      <c r="C10" s="0" t="n">
        <f aca="false">B10*Assumptions!$B$6</f>
        <v>194596.83</v>
      </c>
      <c r="D10" s="0" t="n">
        <f aca="false">B10*0.3</f>
        <v>1297312.2</v>
      </c>
      <c r="E10" s="0" t="n">
        <f aca="false">D10*Assumptions!$B$6</f>
        <v>58379.049</v>
      </c>
      <c r="F10" s="0" t="n">
        <f aca="false">B10-D10</f>
        <v>3027061.8</v>
      </c>
      <c r="G10" s="0" t="n">
        <f aca="false">C10-E10</f>
        <v>136217.781</v>
      </c>
      <c r="I10" s="0" t="e">
        <f aca="false">I6/I9</f>
        <v>#DIV/0!</v>
      </c>
    </row>
    <row r="11" customFormat="false" ht="15" hidden="false" customHeight="false" outlineLevel="0" collapsed="false">
      <c r="A11" s="0" t="s">
        <v>81</v>
      </c>
      <c r="B11" s="0" t="n">
        <v>1729371</v>
      </c>
      <c r="C11" s="0" t="n">
        <f aca="false">B11*Assumptions!$B$6</f>
        <v>77821.695</v>
      </c>
      <c r="D11" s="0" t="n">
        <f aca="false">B11*0.3</f>
        <v>518811.3</v>
      </c>
      <c r="E11" s="0" t="n">
        <f aca="false">D11*Assumptions!$B$6</f>
        <v>23346.5085</v>
      </c>
      <c r="F11" s="0" t="n">
        <f aca="false">B11-D11</f>
        <v>1210559.7</v>
      </c>
      <c r="G11" s="0" t="n">
        <f aca="false">C11-E11</f>
        <v>54475.1865</v>
      </c>
    </row>
    <row r="12" customFormat="false" ht="15" hidden="false" customHeight="false" outlineLevel="0" collapsed="false">
      <c r="A12" s="0" t="s">
        <v>82</v>
      </c>
      <c r="B12" s="0" t="n">
        <v>2127723</v>
      </c>
      <c r="C12" s="0" t="n">
        <f aca="false">B12*Assumptions!$B$6</f>
        <v>95747.535</v>
      </c>
      <c r="D12" s="0" t="n">
        <f aca="false">B12*0.3</f>
        <v>638316.9</v>
      </c>
      <c r="E12" s="0" t="n">
        <f aca="false">D12*Assumptions!$B$6</f>
        <v>28724.2605</v>
      </c>
      <c r="F12" s="0" t="n">
        <f aca="false">B12-D12</f>
        <v>1489406.1</v>
      </c>
      <c r="G12" s="0" t="n">
        <f aca="false">C12-E12</f>
        <v>67023.2745</v>
      </c>
    </row>
    <row r="13" customFormat="false" ht="15" hidden="false" customHeight="false" outlineLevel="0" collapsed="false">
      <c r="A13" s="5" t="s">
        <v>83</v>
      </c>
      <c r="B13" s="5" t="n">
        <f aca="false">SUM(B5:B8)+SUM(B10:B12)</f>
        <v>15800920</v>
      </c>
      <c r="C13" s="5" t="n">
        <f aca="false">SUM(C5:C8)+SUM(C10:C12)</f>
        <v>711041.4</v>
      </c>
      <c r="D13" s="5" t="n">
        <f aca="false">SUM(D5:D8)+SUM(D10:D12)</f>
        <v>4740276</v>
      </c>
      <c r="E13" s="5" t="n">
        <f aca="false">SUM(E5:E8)+SUM(E10:E12)</f>
        <v>213312.42</v>
      </c>
      <c r="F13" s="5" t="n">
        <f aca="false">SUM(F5:F8)+SUM(F10:F12)</f>
        <v>11060644</v>
      </c>
      <c r="G13" s="5" t="n">
        <f aca="false">SUM(G5:G8)+SUM(G10:G12)</f>
        <v>497728.98</v>
      </c>
    </row>
    <row r="16" customFormat="false" ht="15" hidden="false" customHeight="false" outlineLevel="0" collapsed="false">
      <c r="A16" s="0" t="s">
        <v>84</v>
      </c>
    </row>
    <row r="17" customFormat="false" ht="15" hidden="false" customHeight="false" outlineLevel="0" collapsed="false">
      <c r="A17" s="0" t="s">
        <v>85</v>
      </c>
    </row>
  </sheetData>
  <mergeCells count="3">
    <mergeCell ref="B3:C3"/>
    <mergeCell ref="D3:E3"/>
    <mergeCell ref="F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s">
        <v>86</v>
      </c>
    </row>
    <row r="3" customFormat="false" ht="15" hidden="false" customHeight="false" outlineLevel="0" collapsed="false">
      <c r="A3" s="5" t="s">
        <v>12</v>
      </c>
      <c r="B3" s="6" t="s">
        <v>87</v>
      </c>
      <c r="C3" s="6" t="s">
        <v>88</v>
      </c>
      <c r="D3" s="6" t="s">
        <v>89</v>
      </c>
      <c r="E3" s="6" t="s">
        <v>90</v>
      </c>
      <c r="F3" s="6" t="s">
        <v>91</v>
      </c>
    </row>
    <row r="4" customFormat="false" ht="15" hidden="false" customHeight="false" outlineLevel="0" collapsed="false">
      <c r="A4" s="0" t="s">
        <v>25</v>
      </c>
      <c r="B4" s="0" t="n">
        <v>-135809</v>
      </c>
      <c r="C4" s="0" t="n">
        <v>836477</v>
      </c>
      <c r="D4" s="0" t="n">
        <v>1024531</v>
      </c>
      <c r="E4" s="0" t="n">
        <v>296529</v>
      </c>
      <c r="F4" s="0" t="n">
        <f aca="false">SUM(B4:E4)</f>
        <v>2021728</v>
      </c>
    </row>
    <row r="5" customFormat="false" ht="15" hidden="false" customHeight="false" outlineLevel="0" collapsed="false">
      <c r="A5" s="0" t="s">
        <v>16</v>
      </c>
      <c r="B5" s="0" t="n">
        <v>-186271</v>
      </c>
      <c r="C5" s="0" t="n">
        <v>1648005</v>
      </c>
      <c r="D5" s="0" t="n">
        <v>1875560</v>
      </c>
      <c r="E5" s="0" t="n">
        <v>1137416</v>
      </c>
      <c r="F5" s="0" t="n">
        <f aca="false">SUM(B5:E5)</f>
        <v>4474710</v>
      </c>
    </row>
    <row r="6" customFormat="false" ht="15" hidden="false" customHeight="false" outlineLevel="0" collapsed="false">
      <c r="A6" s="0" t="s">
        <v>22</v>
      </c>
      <c r="B6" s="0" t="n">
        <v>1349462</v>
      </c>
      <c r="C6" s="0" t="n">
        <v>641609</v>
      </c>
      <c r="D6" s="0" t="n">
        <v>1677449</v>
      </c>
      <c r="E6" s="0" t="n">
        <v>1879716</v>
      </c>
      <c r="F6" s="0" t="n">
        <f aca="false">SUM(B6:E6)</f>
        <v>5548236</v>
      </c>
    </row>
    <row r="7" customFormat="false" ht="15" hidden="false" customHeight="false" outlineLevel="0" collapsed="false">
      <c r="A7" s="0" t="s">
        <v>92</v>
      </c>
      <c r="B7" s="0" t="n">
        <v>1201438</v>
      </c>
      <c r="C7" s="0" t="n">
        <v>898179</v>
      </c>
      <c r="D7" s="0" t="n">
        <v>495174</v>
      </c>
      <c r="E7" s="0" t="n">
        <v>485300</v>
      </c>
      <c r="F7" s="0" t="n">
        <f aca="false">SUM(B7:E7)</f>
        <v>3080091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93</v>
      </c>
    </row>
    <row r="2" customFormat="false" ht="15" hidden="false" customHeight="false" outlineLevel="0" collapsed="false">
      <c r="A2" s="0" t="n">
        <v>0.481522818165195</v>
      </c>
      <c r="B2" s="0" t="n">
        <f aca="false">A2*2</f>
        <v>0.963045636330389</v>
      </c>
    </row>
    <row r="3" customFormat="false" ht="15" hidden="false" customHeight="false" outlineLevel="0" collapsed="false">
      <c r="A3" s="0" t="n">
        <v>0.400442630516349</v>
      </c>
      <c r="B3" s="0" t="n">
        <f aca="false">A3*2</f>
        <v>0.800885261032698</v>
      </c>
    </row>
    <row r="4" customFormat="false" ht="15" hidden="false" customHeight="false" outlineLevel="0" collapsed="false">
      <c r="A4" s="0" t="n">
        <v>0.190609537566808</v>
      </c>
      <c r="B4" s="0" t="n">
        <f aca="false">A4*2</f>
        <v>0.381219075133616</v>
      </c>
    </row>
    <row r="5" customFormat="false" ht="15" hidden="false" customHeight="false" outlineLevel="0" collapsed="false">
      <c r="A5" s="0" t="n">
        <v>0.984667600756609</v>
      </c>
      <c r="B5" s="0" t="n">
        <f aca="false">A5*2</f>
        <v>1.96933520151322</v>
      </c>
    </row>
    <row r="6" customFormat="false" ht="15" hidden="false" customHeight="false" outlineLevel="0" collapsed="false">
      <c r="A6" s="0" t="n">
        <v>0.440626868324751</v>
      </c>
      <c r="B6" s="0" t="n">
        <f aca="false">A6*2</f>
        <v>0.881253736649501</v>
      </c>
    </row>
    <row r="7" customFormat="false" ht="15" hidden="false" customHeight="false" outlineLevel="0" collapsed="false">
      <c r="A7" s="0" t="n">
        <v>0.109928305000467</v>
      </c>
      <c r="B7" s="0" t="n">
        <f aca="false">A7*2</f>
        <v>0.219856610000933</v>
      </c>
    </row>
    <row r="8" customFormat="false" ht="15" hidden="false" customHeight="false" outlineLevel="0" collapsed="false">
      <c r="A8" s="0" t="n">
        <v>0.600727260504481</v>
      </c>
      <c r="B8" s="0" t="n">
        <f aca="false">A8*2</f>
        <v>1.20145452100896</v>
      </c>
    </row>
    <row r="9" customFormat="false" ht="15" hidden="false" customHeight="false" outlineLevel="0" collapsed="false">
      <c r="A9" s="0" t="n">
        <v>0.102379597725222</v>
      </c>
      <c r="B9" s="0" t="n">
        <f aca="false">A9*2</f>
        <v>0.204759195450444</v>
      </c>
    </row>
    <row r="10" customFormat="false" ht="15" hidden="false" customHeight="false" outlineLevel="0" collapsed="false">
      <c r="A10" s="0" t="n">
        <v>0.566783608133085</v>
      </c>
      <c r="B10" s="0" t="n">
        <f aca="false">A10*2</f>
        <v>1.13356721626617</v>
      </c>
    </row>
    <row r="11" customFormat="false" ht="15" hidden="false" customHeight="false" outlineLevel="0" collapsed="false">
      <c r="A11" s="0" t="n">
        <v>0.536618687968436</v>
      </c>
      <c r="B11" s="0" t="n">
        <f aca="false">A11*2</f>
        <v>1.07323737593687</v>
      </c>
    </row>
    <row r="12" customFormat="false" ht="15" hidden="false" customHeight="false" outlineLevel="0" collapsed="false">
      <c r="A12" s="0" t="n">
        <v>0.948948758569434</v>
      </c>
      <c r="B12" s="0" t="n">
        <f aca="false">A12*2</f>
        <v>1.89789751713887</v>
      </c>
    </row>
    <row r="13" customFormat="false" ht="15" hidden="false" customHeight="false" outlineLevel="0" collapsed="false">
      <c r="A13" s="0" t="n">
        <v>0.613737262975431</v>
      </c>
      <c r="B13" s="0" t="n">
        <f aca="false">A13*2</f>
        <v>1.22747452595086</v>
      </c>
    </row>
    <row r="14" customFormat="false" ht="15" hidden="false" customHeight="false" outlineLevel="0" collapsed="false">
      <c r="A14" s="0" t="n">
        <v>0.0703155761534897</v>
      </c>
      <c r="B14" s="0" t="n">
        <f aca="false">A14*2</f>
        <v>0.140631152306979</v>
      </c>
    </row>
    <row r="15" customFormat="false" ht="15" hidden="false" customHeight="false" outlineLevel="0" collapsed="false">
      <c r="A15" s="0" t="n">
        <v>0.207952682778753</v>
      </c>
      <c r="B15" s="0" t="n">
        <f aca="false">A15*2</f>
        <v>0.415905365557506</v>
      </c>
    </row>
    <row r="16" customFormat="false" ht="15" hidden="false" customHeight="false" outlineLevel="0" collapsed="false">
      <c r="A16" s="0" t="n">
        <v>0.376229361806441</v>
      </c>
      <c r="B16" s="0" t="n">
        <f aca="false">A16*2</f>
        <v>0.752458723612882</v>
      </c>
    </row>
    <row r="17" customFormat="false" ht="15" hidden="false" customHeight="false" outlineLevel="0" collapsed="false">
      <c r="A17" s="0" t="n">
        <v>0.634409578533901</v>
      </c>
      <c r="B17" s="0" t="n">
        <f aca="false">A17*2</f>
        <v>1.2688191570678</v>
      </c>
    </row>
    <row r="18" customFormat="false" ht="15" hidden="false" customHeight="false" outlineLevel="0" collapsed="false">
      <c r="A18" s="0" t="n">
        <v>0.955468023921471</v>
      </c>
      <c r="B18" s="0" t="n">
        <f aca="false">A18*2</f>
        <v>1.91093604784294</v>
      </c>
    </row>
    <row r="19" customFormat="false" ht="15" hidden="false" customHeight="false" outlineLevel="0" collapsed="false">
      <c r="A19" s="0" t="n">
        <v>0.602279188962008</v>
      </c>
      <c r="B19" s="0" t="n">
        <f aca="false">A19*2</f>
        <v>1.20455837792402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2026-08-30T13:55:59Z</dcterms:created>
  <dc:creator>openpyxl</dc:creator>
  <dc:description/>
  <dc:language>en-US</dc:language>
  <cp:lastModifiedBy/>
  <dcterms:modified xsi:type="dcterms:W3CDTF">2026-08-30T13:55:59Z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